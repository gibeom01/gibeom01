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a49ebd8a8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타임테이블" sheetId="1" r:id="R22fc484e64a344f6"/>
    <x:sheet xmlns:r="http://schemas.openxmlformats.org/officeDocument/2006/relationships" name="역할분담" sheetId="2" r:id="Rdf7bc2d6f86e4a93"/>
    <x:sheet xmlns:r="http://schemas.openxmlformats.org/officeDocument/2006/relationships" name="마일스톤" sheetId="3" r:id="Rb747725628e9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F4E78"/>
      <x:name val="Arial"/>
    </x:font>
    <x:font>
      <x:i/>
      <x:sz val="10"/>
      <x:color rgb="FF52616B"/>
      <x:name val="Arial"/>
    </x:font>
    <x:font>
      <x:b/>
      <x:sz val="10"/>
      <x:color rgb="FF1F4E78"/>
      <x:name val="Arial"/>
    </x:font>
    <x:font>
      <x:b/>
      <x:sz val="10"/>
      <x:color rgb="FF2E7D32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3FAF0"/>
      </x:patternFill>
    </x:fill>
    <x:fill>
      <x:patternFill patternType="solid">
        <x:fgColor rgb="FF1F4E78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  <x:border>
      <x:left/>
      <x:right style="thin">
        <x:color rgb="FFFFFFFF"/>
      </x:right>
      <x:top/>
      <x:bottom style="medium">
        <x:color rgb="FF1F4E7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F4E78"/>
      </x:bottom>
      <x:diagonal/>
    </x:border>
    <x:border>
      <x:left style="thin">
        <x:color rgb="FFFFFFFF"/>
      </x:left>
      <x:right/>
      <x:top/>
      <x:bottom style="medium">
        <x:color rgb="FF1F4E78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163f5982d49e3" /><Relationship Type="http://schemas.openxmlformats.org/officeDocument/2006/relationships/theme" Target="/xl/theme/theme1.xml" Id="R7ef17c31452b41da" /><Relationship Type="http://schemas.openxmlformats.org/officeDocument/2006/relationships/sharedStrings" Target="/xl/sharedStrings.xml" Id="R99218013d0d44b17" /><Relationship Type="http://schemas.openxmlformats.org/officeDocument/2006/relationships/worksheet" Target="/xl/worksheets/sheet1.xml" Id="R22fc484e64a344f6" /><Relationship Type="http://schemas.openxmlformats.org/officeDocument/2006/relationships/worksheet" Target="/xl/worksheets/sheet2.xml" Id="Rdf7bc2d6f86e4a93" /><Relationship Type="http://schemas.openxmlformats.org/officeDocument/2006/relationships/worksheet" Target="/xl/worksheets/sheet3.xml" Id="Rb747725628e94284" /></Relationships>
</file>

<file path=xl/tables/table1.xml><?xml version="1.0" encoding="utf-8"?>
<x:table xmlns:x="http://schemas.openxmlformats.org/spreadsheetml/2006/main" id="1" name="TimelineTable" displayName="TimelineTable" ref="A8:H22" headerRowCount="1" totalsRowCount="0" totalsRowShown="0">
  <x:tableColumns count="8">
    <x:tableColumn id="1" name="날짜"/>
    <x:tableColumn id="2" name="단계"/>
    <x:tableColumn id="3" name="담당자"/>
    <x:tableColumn id="4" name="담당 영역"/>
    <x:tableColumn id="5" name="작업 내용"/>
    <x:tableColumn id="6" name="산출물"/>
    <x:tableColumn id="7" name="확인 사항"/>
    <x:tableColumn id="8" name="완료 여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Table" displayName="RolesTable" ref="A6:G13" headerRowCount="1" totalsRowCount="0" totalsRowShown="0">
  <x:tableColumns count="7">
    <x:tableColumn id="1" name="담당"/>
    <x:tableColumn id="2" name="영역"/>
    <x:tableColumn id="3" name="핵심 책임"/>
    <x:tableColumn id="4" name="세부 작업"/>
    <x:tableColumn id="5" name="입력 자료"/>
    <x:tableColumn id="6" name="주요 산출물"/>
    <x:tableColumn id="7" name="완료 기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6:H11" headerRowCount="1" totalsRowCount="0" totalsRowShown="0">
  <x:tableColumns count="8">
    <x:tableColumn id="1" name="ID"/>
    <x:tableColumn id="2" name="마일스톤"/>
    <x:tableColumn id="3" name="목표일"/>
    <x:tableColumn id="4" name="주관"/>
    <x:tableColumn id="5" name="완료 기준"/>
    <x:tableColumn id="6" name="필수 산출물"/>
    <x:tableColumn id="7" name="상태"/>
    <x:tableColumn id="8" name="진행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7d35aa2a5c43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0f51107857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c107e80e7a400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7" hidden="0" customWidth="1"/>
    <x:col min="5" max="5" width="39" hidden="0" customWidth="1"/>
    <x:col min="6" max="6" width="24" hidden="0" customWidth="1"/>
    <x:col min="7" max="7" width="35" hidden="0" customWidth="1"/>
    <x:col min="8" max="8" width="12" hidden="0" customWidth="1"/>
  </x:cols>
  <x:sheetData>
    <x:row r="2" ht="26" customHeight="1">
      <x:c r="A2" s="4" t="str">
        <x:v>NetworkPolicy 적용 및 검증 타임테이블</x:v>
      </x:c>
      <x:c r="B2" s="3"/>
      <x:c r="C2" s="3"/>
      <x:c r="D2" s="3"/>
      <x:c r="E2" s="3"/>
      <x:c r="F2" s="3"/>
      <x:c r="G2" s="3"/>
      <x:c r="H2" s="3"/>
    </x:row>
    <x:row r="3">
      <x:c r="A3" s="5" t="str">
        <x:v>검증 환경: 2026-10-08 ~ 2026-10-13   |   운영 반영: 2026-10-14 (이상 없음 확인 시)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16" t="str">
        <x:v>전체 작업</x:v>
      </x:c>
      <x:c r="B5" s="20" t="n">
        <x:f>COUNTA(H9:H22)</x:f>
        <x:v>14</x:v>
      </x:c>
      <x:c r="C5" s="21" t="str">
        <x:v>완료</x:v>
      </x:c>
      <x:c r="D5" s="20" t="n">
        <x:f>COUNTIFS(H9:H22,"완료")</x:f>
        <x:v>0</x:v>
      </x:c>
      <x:c r="E5" s="21" t="str">
        <x:v>진행중</x:v>
      </x:c>
      <x:c r="F5" s="20" t="n">
        <x:f>COUNTIFS(H9:H22,"진행중")</x:f>
        <x:v>0</x:v>
      </x:c>
      <x:c r="G5" s="21" t="str">
        <x:v>보류</x:v>
      </x:c>
      <x:c r="H5" s="22" t="n">
        <x:f>COUNTIFS(H9:H22,"보류")</x:f>
        <x:v>0</x:v>
      </x:c>
    </x:row>
    <x:row r="6">
      <x:c r="A6" s="17" t="str">
        <x:v>완료율</x:v>
      </x:c>
      <x:c r="B6" s="26" t="n">
        <x:f>IF(B5=0,0,D5/B5)</x:f>
        <x:v>0</x:v>
      </x:c>
      <x:c r="C6" s="24" t="str">
        <x:v>운영 반영 판단</x:v>
      </x:c>
      <x:c r="D6" s="23" t="str">
        <x:f>IF(H5&gt;0,"보류 항목 확인",IF(D5=B5,"운영 반영 가능","검증 진행 중"))</x:f>
        <x:v>검증 진행 중</x:v>
      </x:c>
      <x:c r="E6" s="24"/>
      <x:c r="F6" s="23"/>
      <x:c r="G6" s="24"/>
      <x:c r="H6" s="25"/>
    </x:row>
    <x:row r="7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44" t="str">
        <x:v>날짜</x:v>
      </x:c>
      <x:c r="B8" s="45" t="str">
        <x:v>단계</x:v>
      </x:c>
      <x:c r="C8" s="45" t="str">
        <x:v>담당자</x:v>
      </x:c>
      <x:c r="D8" s="45" t="str">
        <x:v>담당 영역</x:v>
      </x:c>
      <x:c r="E8" s="45" t="str">
        <x:v>작업 내용</x:v>
      </x:c>
      <x:c r="F8" s="45" t="str">
        <x:v>산출물</x:v>
      </x:c>
      <x:c r="G8" s="45" t="str">
        <x:v>확인 사항</x:v>
      </x:c>
      <x:c r="H8" s="46" t="str">
        <x:v>완료 여부</x:v>
      </x:c>
    </x:row>
    <x:row r="9" ht="38" customHeight="1">
      <x:c r="A9" s="28" t="d">
        <x:v>2026-10-08T00:00:00.000Z</x:v>
      </x:c>
      <x:c r="B9" s="29" t="str">
        <x:v>검증 준비</x:v>
      </x:c>
      <x:c r="C9" s="29" t="str">
        <x:v>네이티브</x:v>
      </x:c>
      <x:c r="D9" s="29" t="str">
        <x:v>서비스</x:v>
      </x:c>
      <x:c r="E9" s="31" t="str">
        <x:v>서비스별 통신 대상과 필수 포트 최종 확인</x:v>
      </x:c>
      <x:c r="F9" s="31" t="str">
        <x:v>서비스 통신 목록</x:v>
      </x:c>
      <x:c r="G9" s="31" t="str">
        <x:v>호출·수신 방향, 포트, 프로토콜 누락 여부</x:v>
      </x:c>
      <x:c r="H9" s="29" t="str">
        <x:v>미착수</x:v>
      </x:c>
    </x:row>
    <x:row r="10" ht="38" customHeight="1">
      <x:c r="A10" s="28" t="d">
        <x:v>2026-10-08T00:00:00.000Z</x:v>
      </x:c>
      <x:c r="B10" s="29" t="str">
        <x:v>검증 준비</x:v>
      </x:c>
      <x:c r="C10" s="29" t="str">
        <x:v>MSP</x:v>
      </x:c>
      <x:c r="D10" s="29" t="str">
        <x:v>네트워크</x:v>
      </x:c>
      <x:c r="E10" s="31" t="str">
        <x:v>현행 NetworkPolicy 백업 및 적용 대상 네임스페이스 확인</x:v>
      </x:c>
      <x:c r="F10" s="31" t="str">
        <x:v>현행 정책 백업본</x:v>
      </x:c>
      <x:c r="G10" s="31" t="str">
        <x:v>복구 가능 여부와 적용 제외 대상</x:v>
      </x:c>
      <x:c r="H10" s="29" t="str">
        <x:v>미착수</x:v>
      </x:c>
    </x:row>
    <x:row r="11" ht="38" customHeight="1">
      <x:c r="A11" s="28" t="d">
        <x:v>2026-10-09T00:00:00.000Z</x:v>
      </x:c>
      <x:c r="B11" s="29" t="str">
        <x:v>검증 반영</x:v>
      </x:c>
      <x:c r="C11" s="29" t="str">
        <x:v>MSP</x:v>
      </x:c>
      <x:c r="D11" s="29" t="str">
        <x:v>네트워크</x:v>
      </x:c>
      <x:c r="E11" s="31" t="str">
        <x:v>검증 환경에 기본 차단 및 필수 허용 정책 단계 적용</x:v>
      </x:c>
      <x:c r="F11" s="31" t="str">
        <x:v>검증 환경 정책 YAML</x:v>
      </x:c>
      <x:c r="G11" s="31" t="str">
        <x:v>정책 적용 오류와 Pod 선택 라벨</x:v>
      </x:c>
      <x:c r="H11" s="29" t="str">
        <x:v>미착수</x:v>
      </x:c>
    </x:row>
    <x:row r="12" ht="38" customHeight="1">
      <x:c r="A12" s="28" t="d">
        <x:v>2026-10-09T00:00:00.000Z</x:v>
      </x:c>
      <x:c r="B12" s="29" t="str">
        <x:v>검증 반영</x:v>
      </x:c>
      <x:c r="C12" s="29" t="str">
        <x:v>네이티브</x:v>
      </x:c>
      <x:c r="D12" s="29" t="str">
        <x:v>서비스</x:v>
      </x:c>
      <x:c r="E12" s="31" t="str">
        <x:v>주요 서비스 기능·연계·배치 통신 1차 테스트</x:v>
      </x:c>
      <x:c r="F12" s="31" t="str">
        <x:v>1차 테스트 결과</x:v>
      </x:c>
      <x:c r="G12" s="31" t="str">
        <x:v>정상·실패 항목과 재현 절차</x:v>
      </x:c>
      <x:c r="H12" s="29" t="str">
        <x:v>미착수</x:v>
      </x:c>
    </x:row>
    <x:row r="13" ht="38" customHeight="1">
      <x:c r="A13" s="28" t="d">
        <x:v>2026-10-10T00:00:00.000Z</x:v>
      </x:c>
      <x:c r="B13" s="29" t="str">
        <x:v>보완 검증</x:v>
      </x:c>
      <x:c r="C13" s="29" t="str">
        <x:v>공동</x:v>
      </x:c>
      <x:c r="D13" s="29" t="str">
        <x:v>서비스·네트워크</x:v>
      </x:c>
      <x:c r="E13" s="31" t="str">
        <x:v>실패 통신 로그 분석 및 예외 허용 후보 정리</x:v>
      </x:c>
      <x:c r="F13" s="31" t="str">
        <x:v>예외 후보 목록</x:v>
      </x:c>
      <x:c r="G13" s="31" t="str">
        <x:v>출발지·목적지·포트 근거</x:v>
      </x:c>
      <x:c r="H13" s="29" t="str">
        <x:v>미착수</x:v>
      </x:c>
    </x:row>
    <x:row r="14" ht="38" customHeight="1">
      <x:c r="A14" s="28" t="d">
        <x:v>2026-10-11T00:00:00.000Z</x:v>
      </x:c>
      <x:c r="B14" s="29" t="str">
        <x:v>보완 검증</x:v>
      </x:c>
      <x:c r="C14" s="29" t="str">
        <x:v>공동</x:v>
      </x:c>
      <x:c r="D14" s="29" t="str">
        <x:v>서비스·네트워크</x:v>
      </x:c>
      <x:c r="E14" s="31" t="str">
        <x:v>필요 시 추가 재현 및 정책 보완안 검토</x:v>
      </x:c>
      <x:c r="F14" s="31" t="str">
        <x:v>보완안 검토 기록</x:v>
      </x:c>
      <x:c r="G14" s="31" t="str">
        <x:v>과도한 허용 대역 또는 포트 존재 여부</x:v>
      </x:c>
      <x:c r="H14" s="29" t="str">
        <x:v>미착수</x:v>
      </x:c>
    </x:row>
    <x:row r="15" ht="38" customHeight="1">
      <x:c r="A15" s="28" t="d">
        <x:v>2026-10-12T00:00:00.000Z</x:v>
      </x:c>
      <x:c r="B15" s="29" t="str">
        <x:v>보완 검증</x:v>
      </x:c>
      <x:c r="C15" s="29" t="str">
        <x:v>MSP</x:v>
      </x:c>
      <x:c r="D15" s="29" t="str">
        <x:v>네트워크</x:v>
      </x:c>
      <x:c r="E15" s="31" t="str">
        <x:v>승인된 예외를 반영하고 정책 정합성 재확인</x:v>
      </x:c>
      <x:c r="F15" s="31" t="str">
        <x:v>수정 정책 YAML</x:v>
      </x:c>
      <x:c r="G15" s="31" t="str">
        <x:v>중복·충돌·과도 허용 여부</x:v>
      </x:c>
      <x:c r="H15" s="29" t="str">
        <x:v>미착수</x:v>
      </x:c>
    </x:row>
    <x:row r="16" ht="38" customHeight="1">
      <x:c r="A16" s="28" t="d">
        <x:v>2026-10-12T00:00:00.000Z</x:v>
      </x:c>
      <x:c r="B16" s="29" t="str">
        <x:v>보완 검증</x:v>
      </x:c>
      <x:c r="C16" s="29" t="str">
        <x:v>네이티브</x:v>
      </x:c>
      <x:c r="D16" s="29" t="str">
        <x:v>서비스</x:v>
      </x:c>
      <x:c r="E16" s="31" t="str">
        <x:v>수정 정책 기준 서비스 회귀 테스트</x:v>
      </x:c>
      <x:c r="F16" s="31" t="str">
        <x:v>회귀 테스트 결과</x:v>
      </x:c>
      <x:c r="G16" s="31" t="str">
        <x:v>핵심 기능과 외부 연계 정상 여부</x:v>
      </x:c>
      <x:c r="H16" s="29" t="str">
        <x:v>미착수</x:v>
      </x:c>
    </x:row>
    <x:row r="17" ht="38" customHeight="1">
      <x:c r="A17" s="28" t="d">
        <x:v>2026-10-13T00:00:00.000Z</x:v>
      </x:c>
      <x:c r="B17" s="29" t="str">
        <x:v>통합 검증</x:v>
      </x:c>
      <x:c r="C17" s="29" t="str">
        <x:v>네이티브</x:v>
      </x:c>
      <x:c r="D17" s="29" t="str">
        <x:v>서비스</x:v>
      </x:c>
      <x:c r="E17" s="31" t="str">
        <x:v>전체 서비스 시나리오 최종 검증</x:v>
      </x:c>
      <x:c r="F17" s="31" t="str">
        <x:v>최종 서비스 검증서</x:v>
      </x:c>
      <x:c r="G17" s="31" t="str">
        <x:v>장애·지연·재시도 이상 여부</x:v>
      </x:c>
      <x:c r="H17" s="29" t="str">
        <x:v>미착수</x:v>
      </x:c>
    </x:row>
    <x:row r="18" ht="38" customHeight="1">
      <x:c r="A18" s="28" t="d">
        <x:v>2026-10-13T00:00:00.000Z</x:v>
      </x:c>
      <x:c r="B18" s="29" t="str">
        <x:v>통합 검증</x:v>
      </x:c>
      <x:c r="C18" s="29" t="str">
        <x:v>MSP</x:v>
      </x:c>
      <x:c r="D18" s="29" t="str">
        <x:v>네트워크</x:v>
      </x:c>
      <x:c r="E18" s="31" t="str">
        <x:v>정책 이벤트·드롭 로그·허용 범위 최종 점검</x:v>
      </x:c>
      <x:c r="F18" s="31" t="str">
        <x:v>최종 네트워크 점검서</x:v>
      </x:c>
      <x:c r="G18" s="31" t="str">
        <x:v>미승인 통신 허용 여부</x:v>
      </x:c>
      <x:c r="H18" s="29" t="str">
        <x:v>미착수</x:v>
      </x:c>
    </x:row>
    <x:row r="19" ht="38" customHeight="1">
      <x:c r="A19" s="28" t="d">
        <x:v>2026-10-13T00:00:00.000Z</x:v>
      </x:c>
      <x:c r="B19" s="29" t="str">
        <x:v>통합 검증</x:v>
      </x:c>
      <x:c r="C19" s="29" t="str">
        <x:v>공동</x:v>
      </x:c>
      <x:c r="D19" s="29" t="str">
        <x:v>서비스·네트워크</x:v>
      </x:c>
      <x:c r="E19" s="31" t="str">
        <x:v>검증 결과 공유 및 운영 반영 승인</x:v>
      </x:c>
      <x:c r="F19" s="31" t="str">
        <x:v>운영 반영 승인 기록</x:v>
      </x:c>
      <x:c r="G19" s="31" t="str">
        <x:v>미해결 보류 항목 0건</x:v>
      </x:c>
      <x:c r="H19" s="29" t="str">
        <x:v>미착수</x:v>
      </x:c>
    </x:row>
    <x:row r="20" ht="38" customHeight="1">
      <x:c r="A20" s="35" t="d">
        <x:v>2026-10-14T00:00:00.000Z</x:v>
      </x:c>
      <x:c r="B20" s="33" t="str">
        <x:v>운영 반영</x:v>
      </x:c>
      <x:c r="C20" s="33" t="str">
        <x:v>MSP</x:v>
      </x:c>
      <x:c r="D20" s="33" t="str">
        <x:v>네트워크</x:v>
      </x:c>
      <x:c r="E20" s="34" t="str">
        <x:v>이상 없음 승인 확인 후 운영 정책 반영</x:v>
      </x:c>
      <x:c r="F20" s="34" t="str">
        <x:v>운영 정책 YAML</x:v>
      </x:c>
      <x:c r="G20" s="34" t="str">
        <x:v>대상·순서·백업·롤백 절차 확인</x:v>
      </x:c>
      <x:c r="H20" s="33" t="str">
        <x:v>미착수</x:v>
      </x:c>
    </x:row>
    <x:row r="21" ht="38" customHeight="1">
      <x:c r="A21" s="35" t="d">
        <x:v>2026-10-14T00:00:00.000Z</x:v>
      </x:c>
      <x:c r="B21" s="33" t="str">
        <x:v>운영 반영</x:v>
      </x:c>
      <x:c r="C21" s="33" t="str">
        <x:v>네이티브</x:v>
      </x:c>
      <x:c r="D21" s="33" t="str">
        <x:v>서비스</x:v>
      </x:c>
      <x:c r="E21" s="34" t="str">
        <x:v>운영 반영 직후 핵심 서비스 점검</x:v>
      </x:c>
      <x:c r="F21" s="34" t="str">
        <x:v>운영 점검 결과</x:v>
      </x:c>
      <x:c r="G21" s="34" t="str">
        <x:v>핵심 기능과 필수 연계 정상 여부</x:v>
      </x:c>
      <x:c r="H21" s="33" t="str">
        <x:v>미착수</x:v>
      </x:c>
    </x:row>
    <x:row r="22" ht="38" customHeight="1">
      <x:c r="A22" s="35" t="d">
        <x:v>2026-10-14T00:00:00.000Z</x:v>
      </x:c>
      <x:c r="B22" s="33" t="str">
        <x:v>운영 반영</x:v>
      </x:c>
      <x:c r="C22" s="33" t="str">
        <x:v>공동</x:v>
      </x:c>
      <x:c r="D22" s="33" t="str">
        <x:v>서비스·네트워크</x:v>
      </x:c>
      <x:c r="E22" s="34" t="str">
        <x:v>안정화 모니터링 및 작업 종료 확인</x:v>
      </x:c>
      <x:c r="F22" s="34" t="str">
        <x:v>작업 완료 보고</x:v>
      </x:c>
      <x:c r="G22" s="34" t="str">
        <x:v>오류율·지연·드롭 로그 이상 여부</x:v>
      </x:c>
      <x:c r="H22" s="33" t="str">
        <x:v>미착수</x:v>
      </x:c>
    </x:row>
  </x:sheetData>
  <x:conditionalFormatting sqref="H9:H22">
    <x:cfRule type="expression" dxfId="0" priority="1">
      <x:formula>H9="완료"</x:formula>
    </x:cfRule>
    <x:cfRule type="expression" dxfId="1" priority="2">
      <x:formula>H9="진행중"</x:formula>
    </x:cfRule>
    <x:cfRule type="expression" dxfId="2" priority="3">
      <x:formula>H9="보류"</x:formula>
    </x:cfRule>
    <x:cfRule type="expression" dxfId="3" priority="4">
      <x:formula>H9="미착수"</x:formula>
    </x:cfRule>
  </x:conditionalFormatting>
  <x:dataValidations count="1">
    <x:dataValidation type="list" sqref="H9:H22">
      <x:formula1>"미착수,진행중,완료,보류"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7d35aa2a5c438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5" hidden="0" customWidth="1"/>
    <x:col min="4" max="4" width="42" hidden="0" customWidth="1"/>
    <x:col min="5" max="5" width="29" hidden="0" customWidth="1"/>
    <x:col min="6" max="6" width="27" hidden="0" customWidth="1"/>
    <x:col min="7" max="7" width="27" hidden="0" customWidth="1"/>
  </x:cols>
  <x:sheetData>
    <x:row r="2" ht="26" customHeight="1">
      <x:c r="A2" s="4" t="str">
        <x:v>NetworkPolicy 역할분담</x:v>
      </x:c>
      <x:c r="B2" s="3"/>
      <x:c r="C2" s="3"/>
      <x:c r="D2" s="3"/>
      <x:c r="E2" s="3"/>
      <x:c r="F2" s="3"/>
      <x:c r="G2" s="3"/>
    </x:row>
    <x:row r="3">
      <x:c r="A3" s="5" t="str">
        <x:v>네이티브는 서비스 검증을, MSP는 네트워크 정책과 운영 반영을 주관합니다.</x:v>
      </x:c>
      <x:c r="B3" s="5"/>
      <x:c r="C3" s="5"/>
      <x:c r="D3" s="5"/>
      <x:c r="E3" s="5"/>
      <x:c r="F3" s="5"/>
      <x:c r="G3" s="5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44" t="str">
        <x:v>담당</x:v>
      </x:c>
      <x:c r="B6" s="45" t="str">
        <x:v>영역</x:v>
      </x:c>
      <x:c r="C6" s="45" t="str">
        <x:v>핵심 책임</x:v>
      </x:c>
      <x:c r="D6" s="45" t="str">
        <x:v>세부 작업</x:v>
      </x:c>
      <x:c r="E6" s="45" t="str">
        <x:v>입력 자료</x:v>
      </x:c>
      <x:c r="F6" s="45" t="str">
        <x:v>주요 산출물</x:v>
      </x:c>
      <x:c r="G6" s="46" t="str">
        <x:v>완료 기준</x:v>
      </x:c>
    </x:row>
    <x:row r="7" ht="42" customHeight="1">
      <x:c r="A7" s="29" t="str">
        <x:v>네이티브</x:v>
      </x:c>
      <x:c r="B7" s="29" t="str">
        <x:v>서비스</x:v>
      </x:c>
      <x:c r="C7" s="31" t="str">
        <x:v>서비스 통신 요구사항 정의</x:v>
      </x:c>
      <x:c r="D7" s="31" t="str">
        <x:v>서비스별 출발지·목적지·포트·프로토콜 확인</x:v>
      </x:c>
      <x:c r="E7" s="31" t="str">
        <x:v>서비스 구성 및 연계 목록</x:v>
      </x:c>
      <x:c r="F7" s="31" t="str">
        <x:v>서비스 통신 목록</x:v>
      </x:c>
      <x:c r="G7" s="31" t="str">
        <x:v>필수 통신 누락 없음</x:v>
      </x:c>
    </x:row>
    <x:row r="8" ht="42" customHeight="1">
      <x:c r="A8" s="29" t="str">
        <x:v>네이티브</x:v>
      </x:c>
      <x:c r="B8" s="29" t="str">
        <x:v>서비스</x:v>
      </x:c>
      <x:c r="C8" s="31" t="str">
        <x:v>기능 및 연계 검증</x:v>
      </x:c>
      <x:c r="D8" s="31" t="str">
        <x:v>API·DB·메시징·외부 연계·배치 시나리오 테스트</x:v>
      </x:c>
      <x:c r="E8" s="31" t="str">
        <x:v>테스트 시나리오</x:v>
      </x:c>
      <x:c r="F8" s="31" t="str">
        <x:v>기능·연계 테스트 결과</x:v>
      </x:c>
      <x:c r="G8" s="31" t="str">
        <x:v>핵심 기능 정상</x:v>
      </x:c>
    </x:row>
    <x:row r="9" ht="42" customHeight="1">
      <x:c r="A9" s="29" t="str">
        <x:v>네이티브</x:v>
      </x:c>
      <x:c r="B9" s="29" t="str">
        <x:v>서비스</x:v>
      </x:c>
      <x:c r="C9" s="31" t="str">
        <x:v>장애 현상 판별</x:v>
      </x:c>
      <x:c r="D9" s="31" t="str">
        <x:v>애플리케이션 로그와 오류 시점·호출 경로 제공</x:v>
      </x:c>
      <x:c r="E9" s="31" t="str">
        <x:v>애플리케이션 로그</x:v>
      </x:c>
      <x:c r="F9" s="31" t="str">
        <x:v>재현 절차 및 오류 근거</x:v>
      </x:c>
      <x:c r="G9" s="31" t="str">
        <x:v>실패 원인 재현 가능</x:v>
      </x:c>
    </x:row>
    <x:row r="10" ht="42" customHeight="1">
      <x:c r="A10" s="29" t="str">
        <x:v>MSP</x:v>
      </x:c>
      <x:c r="B10" s="29" t="str">
        <x:v>네트워크</x:v>
      </x:c>
      <x:c r="C10" s="31" t="str">
        <x:v>NetworkPolicy 설계</x:v>
      </x:c>
      <x:c r="D10" s="31" t="str">
        <x:v>기본 차단과 최소 허용 정책 작성·검토</x:v>
      </x:c>
      <x:c r="E10" s="31" t="str">
        <x:v>서비스 통신 목록</x:v>
      </x:c>
      <x:c r="F10" s="31" t="str">
        <x:v>NetworkPolicy YAML</x:v>
      </x:c>
      <x:c r="G10" s="31" t="str">
        <x:v>과도한 허용 없음</x:v>
      </x:c>
    </x:row>
    <x:row r="11" ht="42" customHeight="1">
      <x:c r="A11" s="29" t="str">
        <x:v>MSP</x:v>
      </x:c>
      <x:c r="B11" s="29" t="str">
        <x:v>네트워크</x:v>
      </x:c>
      <x:c r="C11" s="31" t="str">
        <x:v>정책 적용 및 복구</x:v>
      </x:c>
      <x:c r="D11" s="31" t="str">
        <x:v>검증·운영 반영, 백업, 롤백 절차 수행</x:v>
      </x:c>
      <x:c r="E11" s="31" t="str">
        <x:v>현행 정책과 대상 목록</x:v>
      </x:c>
      <x:c r="F11" s="31" t="str">
        <x:v>적용·롤백 기록</x:v>
      </x:c>
      <x:c r="G11" s="31" t="str">
        <x:v>정책 적용 오류 없음</x:v>
      </x:c>
    </x:row>
    <x:row r="12" ht="42" customHeight="1">
      <x:c r="A12" s="29" t="str">
        <x:v>MSP</x:v>
      </x:c>
      <x:c r="B12" s="29" t="str">
        <x:v>네트워크</x:v>
      </x:c>
      <x:c r="C12" s="31" t="str">
        <x:v>네트워크 검증</x:v>
      </x:c>
      <x:c r="D12" s="31" t="str">
        <x:v>이벤트·드롭 로그·경로·DNS·포트 관점 점검</x:v>
      </x:c>
      <x:c r="E12" s="31" t="str">
        <x:v>테스트 실패 정보</x:v>
      </x:c>
      <x:c r="F12" s="31" t="str">
        <x:v>네트워크 점검 결과</x:v>
      </x:c>
      <x:c r="G12" s="31" t="str">
        <x:v>미승인 통신 허용 없음</x:v>
      </x:c>
    </x:row>
    <x:row r="13" ht="42" customHeight="1">
      <x:c r="A13" s="29" t="str">
        <x:v>공동</x:v>
      </x:c>
      <x:c r="B13" s="29" t="str">
        <x:v>서비스·네트워크</x:v>
      </x:c>
      <x:c r="C13" s="31" t="str">
        <x:v>예외 승인 및 최종 판정</x:v>
      </x:c>
      <x:c r="D13" s="31" t="str">
        <x:v>오류 근거 검토, 예외 승인, 운영 반영 여부 결정</x:v>
      </x:c>
      <x:c r="E13" s="31" t="str">
        <x:v>양측 검증 결과</x:v>
      </x:c>
      <x:c r="F13" s="31" t="str">
        <x:v>운영 반영 승인 기록</x:v>
      </x:c>
      <x:c r="G13" s="31" t="str">
        <x:v>미해결 보류 항목 0건</x:v>
      </x:c>
    </x:row>
  </x:sheetData>
  <x:pageMargins left="0.7" right="0.7" top="0.75" bottom="0.75" header="0.3" footer="0.3"/>
  <x:tableParts count="1">
    <x:tablePart xmlns:r="http://schemas.openxmlformats.org/officeDocument/2006/relationships" r:id="R890f511078574443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14" hidden="0" customWidth="1"/>
    <x:col min="4" max="4" width="12" hidden="0" customWidth="1"/>
    <x:col min="5" max="5" width="36" hidden="0" customWidth="1"/>
    <x:col min="6" max="6" width="34" hidden="0" customWidth="1"/>
    <x:col min="7" max="7" width="12" hidden="0" customWidth="1"/>
    <x:col min="8" max="8" width="11" hidden="0" customWidth="1"/>
  </x:cols>
  <x:sheetData>
    <x:row r="2" ht="26" customHeight="1">
      <x:c r="A2" s="4" t="str">
        <x:v>NetworkPolicy 주요 마일스톤</x:v>
      </x:c>
      <x:c r="B2" s="3"/>
      <x:c r="C2" s="3"/>
      <x:c r="D2" s="3"/>
      <x:c r="E2" s="3"/>
      <x:c r="F2" s="3"/>
      <x:c r="G2" s="3"/>
      <x:c r="H2" s="3"/>
    </x:row>
    <x:row r="3">
      <x:c r="A3" s="5" t="str">
        <x:v>운영 반영은 2026-10-13 최종 검증에서 이상 없음과 보류 항목 0건을 확인한 경우에만 진행합니다.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44" t="str">
        <x:v>ID</x:v>
      </x:c>
      <x:c r="B6" s="45" t="str">
        <x:v>마일스톤</x:v>
      </x:c>
      <x:c r="C6" s="45" t="str">
        <x:v>목표일</x:v>
      </x:c>
      <x:c r="D6" s="45" t="str">
        <x:v>주관</x:v>
      </x:c>
      <x:c r="E6" s="45" t="str">
        <x:v>완료 기준</x:v>
      </x:c>
      <x:c r="F6" s="45" t="str">
        <x:v>필수 산출물</x:v>
      </x:c>
      <x:c r="G6" s="45" t="str">
        <x:v>상태</x:v>
      </x:c>
      <x:c r="H6" s="46" t="str">
        <x:v>진행률</x:v>
      </x:c>
    </x:row>
    <x:row r="7" ht="42" customHeight="1">
      <x:c r="A7" s="29" t="str">
        <x:v>M1</x:v>
      </x:c>
      <x:c r="B7" s="29" t="str">
        <x:v>검증 준비 완료</x:v>
      </x:c>
      <x:c r="C7" s="28" t="d">
        <x:v>2026-10-08T00:00:00.000Z</x:v>
      </x:c>
      <x:c r="D7" s="29" t="str">
        <x:v>공동</x:v>
      </x:c>
      <x:c r="E7" s="31" t="str">
        <x:v>통신 목록과 현행 정책 백업 완료</x:v>
      </x:c>
      <x:c r="F7" s="31" t="str">
        <x:v>서비스 통신 목록, 정책 백업본</x:v>
      </x:c>
      <x:c r="G7" s="29" t="str">
        <x:v>미착수</x:v>
      </x:c>
      <x:c r="H7" s="48" t="n">
        <x:f>IF(G7="완료",100%,IF(G7="진행중",50%,0%))</x:f>
        <x:v>0</x:v>
      </x:c>
    </x:row>
    <x:row r="8" ht="42" customHeight="1">
      <x:c r="A8" s="29" t="str">
        <x:v>M2</x:v>
      </x:c>
      <x:c r="B8" s="29" t="str">
        <x:v>검증 정책 1차 반영</x:v>
      </x:c>
      <x:c r="C8" s="28" t="d">
        <x:v>2026-10-09T00:00:00.000Z</x:v>
      </x:c>
      <x:c r="D8" s="29" t="str">
        <x:v>MSP</x:v>
      </x:c>
      <x:c r="E8" s="31" t="str">
        <x:v>기본 차단과 필수 허용 정책 적용</x:v>
      </x:c>
      <x:c r="F8" s="31" t="str">
        <x:v>검증 환경 정책 YAML</x:v>
      </x:c>
      <x:c r="G8" s="29" t="str">
        <x:v>미착수</x:v>
      </x:c>
      <x:c r="H8" s="48" t="n">
        <x:f>IF(G8="완료",100%,IF(G8="진행중",50%,0%))</x:f>
        <x:v>0</x:v>
      </x:c>
    </x:row>
    <x:row r="9" ht="42" customHeight="1">
      <x:c r="A9" s="29" t="str">
        <x:v>M3</x:v>
      </x:c>
      <x:c r="B9" s="29" t="str">
        <x:v>예외 보완 및 회귀 테스트</x:v>
      </x:c>
      <x:c r="C9" s="28" t="d">
        <x:v>2026-10-12T00:00:00.000Z</x:v>
      </x:c>
      <x:c r="D9" s="29" t="str">
        <x:v>공동</x:v>
      </x:c>
      <x:c r="E9" s="31" t="str">
        <x:v>승인 예외 반영과 회귀 테스트 완료</x:v>
      </x:c>
      <x:c r="F9" s="31" t="str">
        <x:v>수정 정책, 회귀 테스트 결과</x:v>
      </x:c>
      <x:c r="G9" s="29" t="str">
        <x:v>미착수</x:v>
      </x:c>
      <x:c r="H9" s="48" t="n">
        <x:f>IF(G9="완료",100%,IF(G9="진행중",50%,0%))</x:f>
        <x:v>0</x:v>
      </x:c>
    </x:row>
    <x:row r="10" ht="42" customHeight="1">
      <x:c r="A10" s="29" t="str">
        <x:v>M4</x:v>
      </x:c>
      <x:c r="B10" s="29" t="str">
        <x:v>최종 검증 및 운영 승인</x:v>
      </x:c>
      <x:c r="C10" s="28" t="d">
        <x:v>2026-10-13T00:00:00.000Z</x:v>
      </x:c>
      <x:c r="D10" s="29" t="str">
        <x:v>공동</x:v>
      </x:c>
      <x:c r="E10" s="31" t="str">
        <x:v>이상 없음과 미해결 보류 0건</x:v>
      </x:c>
      <x:c r="F10" s="31" t="str">
        <x:v>최종 검증서, 승인 기록</x:v>
      </x:c>
      <x:c r="G10" s="29" t="str">
        <x:v>미착수</x:v>
      </x:c>
      <x:c r="H10" s="48" t="n">
        <x:f>IF(G10="완료",100%,IF(G10="진행중",50%,0%))</x:f>
        <x:v>0</x:v>
      </x:c>
    </x:row>
    <x:row r="11" ht="42" customHeight="1">
      <x:c r="A11" s="33" t="str">
        <x:v>M5</x:v>
      </x:c>
      <x:c r="B11" s="33" t="str">
        <x:v>운영 반영 및 안정화</x:v>
      </x:c>
      <x:c r="C11" s="32" t="d">
        <x:v>2026-10-14T00:00:00.000Z</x:v>
      </x:c>
      <x:c r="D11" s="33" t="str">
        <x:v>MSP</x:v>
      </x:c>
      <x:c r="E11" s="34" t="str">
        <x:v>운영 적용 후 핵심 서비스와 로그 정상</x:v>
      </x:c>
      <x:c r="F11" s="34" t="str">
        <x:v>운영 정책, 완료 보고</x:v>
      </x:c>
      <x:c r="G11" s="33" t="str">
        <x:v>미착수</x:v>
      </x:c>
      <x:c r="H11" s="49" t="n">
        <x:f>IF(G11="완료",100%,IF(G11="진행중",50%,0%))</x:f>
        <x:v>0</x:v>
      </x:c>
    </x:row>
  </x:sheetData>
  <x:conditionalFormatting sqref="G7:G11">
    <x:cfRule type="expression" dxfId="4" priority="1">
      <x:formula>G7="완료"</x:formula>
    </x:cfRule>
    <x:cfRule type="expression" dxfId="5" priority="2">
      <x:formula>G7="진행중"</x:formula>
    </x:cfRule>
    <x:cfRule type="expression" dxfId="6" priority="3">
      <x:formula>G7="보류"</x:formula>
    </x:cfRule>
    <x:cfRule type="expression" dxfId="7" priority="4">
      <x:formula>G7="미착수"</x:formula>
    </x:cfRule>
  </x:conditionalFormatting>
  <x:dataValidations count="1">
    <x:dataValidation type="list" sqref="G7:G11">
      <x:formula1>"미착수,진행중,완료,보류"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107e80e7a400c"/>
  </x:tableParts>
</x:worksheet>
</file>